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FRA271-LAB1-B01-14-31-73\Experiment_RawData_Logging\LABS1_3_Magnetic_Sensor\"/>
    </mc:Choice>
  </mc:AlternateContent>
  <xr:revisionPtr revIDLastSave="0" documentId="13_ncr:1_{BCB5CB92-1CA3-42F3-949C-E22BF892AAEE}" xr6:coauthVersionLast="47" xr6:coauthVersionMax="47" xr10:uidLastSave="{00000000-0000-0000-0000-000000000000}"/>
  <bookViews>
    <workbookView xWindow="-103" yWindow="-103" windowWidth="22149" windowHeight="13200" xr2:uid="{AADF5789-B4C2-4739-9EF4-90F8F2697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<sst xmlns="http://schemas.openxmlformats.org/spreadsheetml/2006/main" count="13" uniqueCount="13">
  <si>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ระยะห่าง (mm)</t>
  </si>
  <si>
    <t>Flux Density (mT) – ขั้วเหนือ</t>
  </si>
  <si>
    <t>ติดตั้ง Magnetic Shield (mT)</t>
  </si>
  <si>
    <t>Flux Density (South)</t>
  </si>
  <si>
    <t>V_out (mV) - ขั้วเหนือ (Shield)</t>
  </si>
  <si>
    <t>Vout ขั้วใต้</t>
  </si>
  <si>
    <t>Vout ขั้วใต้ + Shield</t>
  </si>
  <si>
    <t>Flux Density (South + Shield)</t>
  </si>
  <si>
    <t>RAW DATA</t>
  </si>
  <si>
    <t>GRAPH DATASHEET</t>
  </si>
  <si>
    <r>
      <t>V</t>
    </r>
    <r>
      <rPr>
        <vertAlign val="subscript"/>
        <sz val="16"/>
        <color theme="1"/>
        <rFont val="TH Sarabun New"/>
        <family val="2"/>
      </rPr>
      <t>out</t>
    </r>
    <r>
      <rPr>
        <sz val="16"/>
        <color theme="1"/>
        <rFont val="TH Sarabun New"/>
        <family val="2"/>
      </rPr>
      <t xml:space="preserve"> (mV) - ขั้วเหนือ</t>
    </r>
  </si>
  <si>
    <t>Flux Density (mT)</t>
  </si>
  <si>
    <r>
      <t>V</t>
    </r>
    <r>
      <rPr>
        <vertAlign val="subscript"/>
        <sz val="16"/>
        <color theme="1"/>
        <rFont val="TH Sarabun New"/>
        <family val="2"/>
      </rPr>
      <t>out</t>
    </r>
    <r>
      <rPr>
        <sz val="16"/>
        <color theme="1"/>
        <rFont val="TH Sarabun New"/>
        <family val="2"/>
      </rPr>
      <t xml:space="preserve"> (mV)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</si>
</sst>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sz val="16"/>
      <color theme="1"/>
      <name val="TH Sarabun New"/>
      <family val="2"/>
    </font>
    <font>
      <b/>
      <sz val="10"/>
      <color rgb="FF1A1C1E"/>
      <name val="Arial"/>
      <family val="2"/>
    </font>
    <font>
      <sz val="10"/>
      <color rgb="FF1A1C1E"/>
      <name val="Arial"/>
      <family val="2"/>
    </font>
    <font>
      <b/>
      <sz val="12"/>
      <color theme="1"/>
      <name val="TH Sarabun New"/>
      <family val="2"/>
    </font>
    <font>
      <vertAlign val="subscript"/>
      <sz val="16"/>
      <color theme="1"/>
      <name val="TH Sarabun New"/>
      <family val="2"/>
    </font>
    <font>
      <sz val="16"/>
      <color rgb="FF1A1C1E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กราฟเปรียบเทียบ</a:t>
            </a:r>
            <a:r>
              <a:rPr lang="th-TH" baseline="0"/>
              <a:t> ระยะห่าง</a:t>
            </a:r>
            <a:r>
              <a:rPr lang="en-US" baseline="0"/>
              <a:t>(mm) </a:t>
            </a:r>
            <a:r>
              <a:rPr lang="th-TH" baseline="0"/>
              <a:t>ต่อ </a:t>
            </a:r>
            <a:r>
              <a:rPr lang="en-US" baseline="0"/>
              <a:t>Vout (ADC) </a:t>
            </a:r>
            <a:r>
              <a:rPr lang="th-TH" baseline="0"/>
              <a:t>และ </a:t>
            </a:r>
            <a:r>
              <a:rPr lang="en-US" baseline="0"/>
              <a:t>Flux Density (mT)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Sheet1!$D$2</c:f>
              <c:strCache>
                <c:ptCount val="1"/>
                <c:pt idx="0">
                  <c:v>Flux Density (mT) – ขั้วเหนือ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40</c:v>
                </c:pt>
                <c:pt idx="1">
                  <c:v>35</c:v>
                </c:pt>
                <c:pt idx="2">
                  <c:v>30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  <c:pt idx="6">
                  <c:v>10</c:v>
                </c:pt>
              </c:numCache>
            </c:numRef>
          </c:xVal>
          <c:yVal>
            <c:numRef>
              <c:f>Sheet1!$D$3:$D$9</c:f>
              <c:numCache>
                <c:formatCode>General</c:formatCode>
                <c:ptCount val="7"/>
                <c:pt idx="0">
                  <c:v>0.4</c:v>
                </c:pt>
                <c:pt idx="1">
                  <c:v>-1.73</c:v>
                </c:pt>
                <c:pt idx="2">
                  <c:v>-4.42</c:v>
                </c:pt>
                <c:pt idx="3">
                  <c:v>-10.29</c:v>
                </c:pt>
                <c:pt idx="4">
                  <c:v>-23.19</c:v>
                </c:pt>
                <c:pt idx="5">
                  <c:v>-52.41</c:v>
                </c:pt>
                <c:pt idx="6">
                  <c:v>-52.79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AD-4C82-86F9-413E19C72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249439"/>
        <c:axId val="1749250879"/>
      </c:scatterChart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Vout (mV) - ขั้วเหนือ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40</c:v>
                </c:pt>
                <c:pt idx="1">
                  <c:v>35</c:v>
                </c:pt>
                <c:pt idx="2">
                  <c:v>30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  <c:pt idx="6">
                  <c:v>10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1641.29</c:v>
                </c:pt>
                <c:pt idx="1">
                  <c:v>1596.71</c:v>
                </c:pt>
                <c:pt idx="2">
                  <c:v>1517.23</c:v>
                </c:pt>
                <c:pt idx="3">
                  <c:v>1341.15</c:v>
                </c:pt>
                <c:pt idx="4">
                  <c:v>954.13</c:v>
                </c:pt>
                <c:pt idx="5">
                  <c:v>77.16</c:v>
                </c:pt>
                <c:pt idx="6">
                  <c:v>66.28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AD-4C82-86F9-413E19C72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445055"/>
        <c:axId val="2087457535"/>
      </c:scatterChart>
      <c:valAx>
        <c:axId val="174924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ระยะห่าง (</a:t>
                </a:r>
                <a:r>
                  <a:rPr lang="en-US"/>
                  <a:t>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250879"/>
        <c:crosses val="autoZero"/>
        <c:crossBetween val="midCat"/>
      </c:valAx>
      <c:valAx>
        <c:axId val="174925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Flux Density</a:t>
                </a:r>
                <a:r>
                  <a:rPr lang="en-US" baseline="0"/>
                  <a:t> (mT)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249439"/>
        <c:crosses val="autoZero"/>
        <c:crossBetween val="midCat"/>
      </c:valAx>
      <c:valAx>
        <c:axId val="208745753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Vout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445055"/>
        <c:crosses val="max"/>
        <c:crossBetween val="midCat"/>
      </c:valAx>
      <c:valAx>
        <c:axId val="20874450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745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กราฟความสัมพันธ์ของ </a:t>
            </a:r>
            <a:r>
              <a:rPr lang="en-US"/>
              <a:t>Flux Density (mT) </a:t>
            </a:r>
            <a:r>
              <a:rPr lang="th-TH"/>
              <a:t>และ </a:t>
            </a:r>
            <a:r>
              <a:rPr lang="en-US"/>
              <a:t>Vout (ADC)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Flux Density (mT) – ขั้วเหนือ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Sheet1!$B$3:$B$9</c:f>
              <c:numCache>
                <c:formatCode>General</c:formatCode>
                <c:ptCount val="7"/>
                <c:pt idx="0">
                  <c:v>1641.29</c:v>
                </c:pt>
                <c:pt idx="1">
                  <c:v>1596.71</c:v>
                </c:pt>
                <c:pt idx="2">
                  <c:v>1517.23</c:v>
                </c:pt>
                <c:pt idx="3">
                  <c:v>1341.15</c:v>
                </c:pt>
                <c:pt idx="4">
                  <c:v>954.13</c:v>
                </c:pt>
                <c:pt idx="5">
                  <c:v>77.16</c:v>
                </c:pt>
                <c:pt idx="6">
                  <c:v>66.28</c:v>
                </c:pt>
              </c:numCache>
            </c:numRef>
          </c:xVal>
          <c:yVal>
            <c:numRef>
              <c:f>Sheet1!$D$3:$D$9</c:f>
              <c:numCache>
                <c:formatCode>General</c:formatCode>
                <c:ptCount val="7"/>
                <c:pt idx="0">
                  <c:v>0.4</c:v>
                </c:pt>
                <c:pt idx="1">
                  <c:v>-1.73</c:v>
                </c:pt>
                <c:pt idx="2">
                  <c:v>-4.42</c:v>
                </c:pt>
                <c:pt idx="3">
                  <c:v>-10.29</c:v>
                </c:pt>
                <c:pt idx="4">
                  <c:v>-23.19</c:v>
                </c:pt>
                <c:pt idx="5">
                  <c:v>-52.41</c:v>
                </c:pt>
                <c:pt idx="6">
                  <c:v>-52.79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32-4439-AA8B-4E888EA35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870223"/>
        <c:axId val="2039871663"/>
      </c:scatterChart>
      <c:valAx>
        <c:axId val="203987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Vout (ADC)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871663"/>
        <c:crosses val="autoZero"/>
        <c:crossBetween val="midCat"/>
      </c:valAx>
      <c:valAx>
        <c:axId val="203987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Flux Density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87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กราฟเปรียบเทียบ</a:t>
            </a:r>
            <a:r>
              <a:rPr lang="th-TH" baseline="0"/>
              <a:t> </a:t>
            </a:r>
            <a:r>
              <a:rPr lang="en-US" baseline="0"/>
              <a:t>Flux Density </a:t>
            </a:r>
            <a:r>
              <a:rPr lang="th-TH" baseline="0"/>
              <a:t>ที่ติดตั้ง </a:t>
            </a:r>
            <a:r>
              <a:rPr lang="en-US" baseline="0"/>
              <a:t>/ </a:t>
            </a:r>
            <a:r>
              <a:rPr lang="th-TH" baseline="0"/>
              <a:t>ไม่ติดตั้ง </a:t>
            </a:r>
            <a:r>
              <a:rPr lang="en-US" baseline="0"/>
              <a:t>Magnetic Shield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Flux Density (mT) – ขั้วเหนือ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40</c:v>
                </c:pt>
                <c:pt idx="1">
                  <c:v>35</c:v>
                </c:pt>
                <c:pt idx="2">
                  <c:v>30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  <c:pt idx="6">
                  <c:v>10</c:v>
                </c:pt>
              </c:numCache>
            </c:numRef>
          </c:xVal>
          <c:yVal>
            <c:numRef>
              <c:f>Sheet1!$D$3:$D$9</c:f>
              <c:numCache>
                <c:formatCode>General</c:formatCode>
                <c:ptCount val="7"/>
                <c:pt idx="0">
                  <c:v>0.4</c:v>
                </c:pt>
                <c:pt idx="1">
                  <c:v>-1.73</c:v>
                </c:pt>
                <c:pt idx="2">
                  <c:v>-4.42</c:v>
                </c:pt>
                <c:pt idx="3">
                  <c:v>-10.29</c:v>
                </c:pt>
                <c:pt idx="4">
                  <c:v>-23.19</c:v>
                </c:pt>
                <c:pt idx="5">
                  <c:v>-52.41</c:v>
                </c:pt>
                <c:pt idx="6">
                  <c:v>-52.79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F5-4540-99D9-47C02AF4DCFA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ติดตั้ง Magnetic Shield (mT)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40</c:v>
                </c:pt>
                <c:pt idx="1">
                  <c:v>35</c:v>
                </c:pt>
                <c:pt idx="2">
                  <c:v>30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  <c:pt idx="6">
                  <c:v>10</c:v>
                </c:pt>
              </c:numCache>
            </c:numRef>
          </c:xVal>
          <c:yVal>
            <c:numRef>
              <c:f>Sheet1!$E$3:$E$9</c:f>
              <c:numCache>
                <c:formatCode>General</c:formatCode>
                <c:ptCount val="7"/>
                <c:pt idx="0">
                  <c:v>0.24</c:v>
                </c:pt>
                <c:pt idx="1">
                  <c:v>-1.66</c:v>
                </c:pt>
                <c:pt idx="2">
                  <c:v>-3.89</c:v>
                </c:pt>
                <c:pt idx="3">
                  <c:v>-8.51</c:v>
                </c:pt>
                <c:pt idx="4">
                  <c:v>-20.29</c:v>
                </c:pt>
                <c:pt idx="5">
                  <c:v>-52.41</c:v>
                </c:pt>
                <c:pt idx="6">
                  <c:v>-52.73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F5-4540-99D9-47C02AF4D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559119"/>
        <c:axId val="686560559"/>
      </c:scatterChart>
      <c:valAx>
        <c:axId val="68655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ระยะห่าง</a:t>
                </a:r>
                <a:r>
                  <a:rPr lang="en-US" baseline="0"/>
                  <a:t> (mm.)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560559"/>
        <c:crosses val="autoZero"/>
        <c:crossBetween val="midCat"/>
      </c:valAx>
      <c:valAx>
        <c:axId val="68656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Flux</a:t>
                </a:r>
                <a:r>
                  <a:rPr lang="en-US" baseline="0"/>
                  <a:t> Density (mT)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559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กราฟแสดงความสัมพันธ์ของ</a:t>
            </a:r>
            <a:r>
              <a:rPr lang="th-TH" baseline="0"/>
              <a:t> </a:t>
            </a:r>
            <a:r>
              <a:rPr lang="en-US" baseline="0"/>
              <a:t>Vout (ADC) </a:t>
            </a:r>
            <a:r>
              <a:rPr lang="th-TH" baseline="0"/>
              <a:t>ของแม่เหล็กทิศเหนือและทิศใต้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Sheet1!$M$2</c:f>
              <c:strCache>
                <c:ptCount val="1"/>
                <c:pt idx="0">
                  <c:v>Vout 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Sheet1!$L$3:$L$16</c:f>
              <c:numCache>
                <c:formatCode>General</c:formatCode>
                <c:ptCount val="14"/>
                <c:pt idx="0">
                  <c:v>54.09</c:v>
                </c:pt>
                <c:pt idx="1">
                  <c:v>54.42</c:v>
                </c:pt>
                <c:pt idx="2">
                  <c:v>29.85</c:v>
                </c:pt>
                <c:pt idx="3">
                  <c:v>13.06</c:v>
                </c:pt>
                <c:pt idx="4">
                  <c:v>7.46</c:v>
                </c:pt>
                <c:pt idx="5">
                  <c:v>4.1100000000000003</c:v>
                </c:pt>
                <c:pt idx="6">
                  <c:v>3.03</c:v>
                </c:pt>
                <c:pt idx="7">
                  <c:v>0.4</c:v>
                </c:pt>
                <c:pt idx="8">
                  <c:v>-1.73</c:v>
                </c:pt>
                <c:pt idx="9">
                  <c:v>-4.42</c:v>
                </c:pt>
                <c:pt idx="10">
                  <c:v>-10.29</c:v>
                </c:pt>
                <c:pt idx="11">
                  <c:v>-23.19</c:v>
                </c:pt>
                <c:pt idx="12">
                  <c:v>-52.41</c:v>
                </c:pt>
                <c:pt idx="13">
                  <c:v>-52.79</c:v>
                </c:pt>
              </c:numCache>
            </c:numRef>
          </c:xVal>
          <c:yVal>
            <c:numRef>
              <c:f>Sheet1!$M$3:$M$16</c:f>
              <c:numCache>
                <c:formatCode>General</c:formatCode>
                <c:ptCount val="14"/>
                <c:pt idx="0">
                  <c:v>3282.27</c:v>
                </c:pt>
                <c:pt idx="1">
                  <c:v>3282.67</c:v>
                </c:pt>
                <c:pt idx="2">
                  <c:v>2545.71</c:v>
                </c:pt>
                <c:pt idx="3">
                  <c:v>2041.85</c:v>
                </c:pt>
                <c:pt idx="4">
                  <c:v>1874.03</c:v>
                </c:pt>
                <c:pt idx="5">
                  <c:v>1781.75</c:v>
                </c:pt>
                <c:pt idx="6">
                  <c:v>1733.8</c:v>
                </c:pt>
                <c:pt idx="7">
                  <c:v>1641.29</c:v>
                </c:pt>
                <c:pt idx="8">
                  <c:v>1596.71</c:v>
                </c:pt>
                <c:pt idx="9">
                  <c:v>1517.23</c:v>
                </c:pt>
                <c:pt idx="10">
                  <c:v>1341.15</c:v>
                </c:pt>
                <c:pt idx="11">
                  <c:v>954.13</c:v>
                </c:pt>
                <c:pt idx="12">
                  <c:v>77.16</c:v>
                </c:pt>
                <c:pt idx="13">
                  <c:v>66.28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71-4FF0-A2E7-E7EB73558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87839"/>
        <c:axId val="129700799"/>
      </c:scatterChart>
      <c:valAx>
        <c:axId val="12968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ทิศเหนือ		</a:t>
                </a:r>
                <a:r>
                  <a:rPr lang="en-US"/>
                  <a:t>Flux Density (mT)</a:t>
                </a:r>
                <a:r>
                  <a:rPr lang="th-TH"/>
                  <a:t>		ทิศใต้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0799"/>
        <c:crosses val="autoZero"/>
        <c:crossBetween val="midCat"/>
      </c:valAx>
      <c:valAx>
        <c:axId val="129700799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Vout (ADC)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8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448076</xdr:colOff>
      <xdr:row>9</xdr:row>
      <xdr:rowOff>210073</xdr:rowOff>
    </xdr:from>
    <xdr:to>
      <xdr:col>9</xdr:col>
      <xdr:colOff>132920</xdr:colOff>
      <xdr:row>26</xdr:row>
      <xdr:rowOff>63884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A8CA1-5745-9F59-BEAB-51887CEE2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424734</xdr:colOff>
      <xdr:row>27</xdr:row>
      <xdr:rowOff>13582</xdr:rowOff>
    </xdr:from>
    <xdr:to>
      <xdr:col>9</xdr:col>
      <xdr:colOff>114472</xdr:colOff>
      <xdr:row>46</xdr:row>
      <xdr:rowOff>132531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6C3032-8C22-A51F-D15D-7635D38D4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373246</xdr:colOff>
      <xdr:row>47</xdr:row>
      <xdr:rowOff>108262</xdr:rowOff>
    </xdr:from>
    <xdr:to>
      <xdr:col>9</xdr:col>
      <xdr:colOff>37991</xdr:colOff>
      <xdr:row>72</xdr:row>
      <xdr:rowOff>126154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FBDE1F-79B0-91D4-E906-981438426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141742</xdr:colOff>
      <xdr:row>5</xdr:row>
      <xdr:rowOff>253466</xdr:rowOff>
    </xdr:from>
    <xdr:to>
      <xdr:col>25</xdr:col>
      <xdr:colOff>206858</xdr:colOff>
      <xdr:row>19</xdr:row>
      <xdr:rowOff>4755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BAF6E1F-D1E0-B155-E905-743B170AA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5850-52FA-4CE4-BE42-738E7878E984}">
  <dimension ref="A1:Q24"/>
  <sheetViews>
    <sheetView tabSelected="1" zoomScale="71" zoomScaleNormal="71" workbookViewId="0">
      <selection activeCell="F2" sqref="F2:I9"/>
    </sheetView>
  </sheetViews>
  <sheetFormatPr defaultRowHeight="14.6" x14ac:dyDescent="0.4"/>
  <cols>
    <col min="1" max="9" width="13.69140625" customWidth="1"/>
    <col min="12" max="13" width="16.07421875" customWidth="1"/>
  </cols>
  <sheetData>
    <row r="1" spans="1:17" ht="23.6" x14ac:dyDescent="0.9">
      <c r="A1" t="s">
        <v>8</v>
      </c>
      <c r="B1" s="9"/>
      <c r="C1" s="9"/>
      <c r="D1" s="9"/>
      <c r="E1" s="9"/>
      <c r="F1" s="9"/>
      <c r="G1" s="9"/>
      <c r="H1" s="9"/>
      <c r="I1" s="9"/>
      <c r="J1" s="9"/>
      <c r="K1" s="9"/>
      <c r="L1" s="9" t="s">
        <v>9</v>
      </c>
      <c r="M1" s="9"/>
    </row>
    <row r="2" spans="1:17" ht="70.75" x14ac:dyDescent="0.9">
      <c r="A2" s="7" t="s">
        <v>0</v>
      </c>
      <c r="B2" s="10" t="s">
        <v>10</v>
      </c>
      <c r="C2" s="11" t="s">
        <v>4</v>
      </c>
      <c r="D2" s="10" t="s">
        <v>1</v>
      </c>
      <c r="E2" s="10" t="s">
        <v>2</v>
      </c>
      <c r="F2" s="12" t="s">
        <v>5</v>
      </c>
      <c r="G2" s="12" t="s">
        <v>6</v>
      </c>
      <c r="H2" s="16" t="s">
        <v>3</v>
      </c>
      <c r="I2" s="16" t="s">
        <v>7</v>
      </c>
      <c r="J2" s="9"/>
      <c r="K2" s="9"/>
      <c r="L2" s="18" t="s">
        <v>11</v>
      </c>
      <c r="M2" s="10" t="s">
        <v>12</v>
      </c>
      <c r="O2" s="1"/>
      <c r="P2" s="1"/>
      <c r="Q2" s="1"/>
    </row>
    <row r="3" spans="1:17" ht="23.6" x14ac:dyDescent="0.9">
      <c r="A3" s="8">
        <v>40</v>
      </c>
      <c r="B3" s="10">
        <v>1641.29</v>
      </c>
      <c r="C3" s="11">
        <v>1642.74</v>
      </c>
      <c r="D3" s="10">
        <v>0.4</v>
      </c>
      <c r="E3" s="10">
        <v>0.24</v>
      </c>
      <c r="F3" s="11">
        <v>1733.8</v>
      </c>
      <c r="G3" s="11">
        <v>1731.59</v>
      </c>
      <c r="H3" s="11">
        <v>3.03</v>
      </c>
      <c r="I3" s="11">
        <v>2.71</v>
      </c>
      <c r="J3" s="9"/>
      <c r="K3" s="9"/>
      <c r="L3" s="19">
        <v>54.09</v>
      </c>
      <c r="M3" s="19">
        <v>3282.27</v>
      </c>
      <c r="O3" s="1"/>
      <c r="P3" s="2"/>
      <c r="Q3" s="2"/>
    </row>
    <row r="4" spans="1:17" ht="23.6" x14ac:dyDescent="0.9">
      <c r="A4" s="8">
        <v>35</v>
      </c>
      <c r="B4" s="10">
        <v>1596.71</v>
      </c>
      <c r="C4" s="11">
        <v>1600.04</v>
      </c>
      <c r="D4" s="10">
        <v>-1.73</v>
      </c>
      <c r="E4" s="10">
        <v>-1.66</v>
      </c>
      <c r="F4" s="11">
        <v>1781.75</v>
      </c>
      <c r="G4" s="11">
        <v>1770.87</v>
      </c>
      <c r="H4" s="11">
        <v>4.1100000000000003</v>
      </c>
      <c r="I4" s="11">
        <v>4.0199999999999996</v>
      </c>
      <c r="J4" s="9"/>
      <c r="K4" s="9"/>
      <c r="L4" s="19">
        <v>54.42</v>
      </c>
      <c r="M4" s="19">
        <v>3282.67</v>
      </c>
      <c r="O4" s="1"/>
      <c r="P4" s="2"/>
      <c r="Q4" s="2"/>
    </row>
    <row r="5" spans="1:17" ht="23.6" x14ac:dyDescent="0.9">
      <c r="A5" s="8">
        <v>30</v>
      </c>
      <c r="B5" s="10">
        <v>1517.23</v>
      </c>
      <c r="C5" s="11">
        <v>1533.15</v>
      </c>
      <c r="D5" s="10">
        <v>-4.42</v>
      </c>
      <c r="E5" s="10">
        <v>-3.89</v>
      </c>
      <c r="F5" s="11">
        <v>1874.03</v>
      </c>
      <c r="G5" s="11">
        <v>1843.74</v>
      </c>
      <c r="H5" s="11">
        <v>7.46</v>
      </c>
      <c r="I5" s="11">
        <v>6.15</v>
      </c>
      <c r="J5" s="9"/>
      <c r="K5" s="9"/>
      <c r="L5" s="19">
        <v>29.85</v>
      </c>
      <c r="M5" s="19">
        <v>2545.71</v>
      </c>
      <c r="O5" s="1"/>
      <c r="P5" s="2"/>
      <c r="Q5" s="2"/>
    </row>
    <row r="6" spans="1:17" ht="23.6" x14ac:dyDescent="0.9">
      <c r="A6" s="8">
        <v>25</v>
      </c>
      <c r="B6" s="10">
        <v>1341.15</v>
      </c>
      <c r="C6" s="11">
        <v>1394.54</v>
      </c>
      <c r="D6" s="10">
        <v>-10.29</v>
      </c>
      <c r="E6" s="10">
        <v>-8.51</v>
      </c>
      <c r="F6" s="11">
        <v>2041.85</v>
      </c>
      <c r="G6" s="11">
        <v>2024.75</v>
      </c>
      <c r="H6" s="11">
        <v>13.06</v>
      </c>
      <c r="I6" s="11">
        <v>12.49</v>
      </c>
      <c r="J6" s="9"/>
      <c r="K6" s="9"/>
      <c r="L6" s="19">
        <v>13.06</v>
      </c>
      <c r="M6" s="19">
        <v>2041.85</v>
      </c>
      <c r="O6" s="1"/>
      <c r="P6" s="2"/>
      <c r="Q6" s="2"/>
    </row>
    <row r="7" spans="1:17" ht="23.6" x14ac:dyDescent="0.9">
      <c r="A7" s="8">
        <v>20</v>
      </c>
      <c r="B7" s="10">
        <v>954.13</v>
      </c>
      <c r="C7" s="11">
        <v>1041.17</v>
      </c>
      <c r="D7" s="10">
        <v>-23.19</v>
      </c>
      <c r="E7" s="10">
        <v>-20.29</v>
      </c>
      <c r="F7" s="11">
        <v>2545.71</v>
      </c>
      <c r="G7" s="11">
        <v>2404.48</v>
      </c>
      <c r="H7" s="11">
        <v>29.85</v>
      </c>
      <c r="I7" s="11">
        <v>25.149000000000001</v>
      </c>
      <c r="J7" s="9"/>
      <c r="K7" s="9"/>
      <c r="L7" s="19">
        <v>7.46</v>
      </c>
      <c r="M7" s="19">
        <v>1874.03</v>
      </c>
      <c r="O7" s="1"/>
      <c r="P7" s="2"/>
      <c r="Q7" s="2"/>
    </row>
    <row r="8" spans="1:17" ht="23.6" x14ac:dyDescent="0.9">
      <c r="A8" s="8">
        <v>15</v>
      </c>
      <c r="B8" s="10">
        <v>77.16</v>
      </c>
      <c r="C8" s="11">
        <v>77.56</v>
      </c>
      <c r="D8" s="10">
        <v>-52.41</v>
      </c>
      <c r="E8" s="10">
        <v>-52.41</v>
      </c>
      <c r="F8" s="11">
        <v>3282.67</v>
      </c>
      <c r="G8" s="11">
        <v>3281.86</v>
      </c>
      <c r="H8" s="11">
        <v>54.42</v>
      </c>
      <c r="I8" s="11">
        <v>54.39</v>
      </c>
      <c r="J8" s="9"/>
      <c r="K8" s="9"/>
      <c r="L8" s="19">
        <v>4.1100000000000003</v>
      </c>
      <c r="M8" s="19">
        <v>1781.75</v>
      </c>
      <c r="O8" s="1"/>
      <c r="P8" s="2"/>
      <c r="Q8" s="2"/>
    </row>
    <row r="9" spans="1:17" ht="23.6" x14ac:dyDescent="0.9">
      <c r="A9" s="8">
        <v>10</v>
      </c>
      <c r="B9" s="10">
        <v>66.28</v>
      </c>
      <c r="C9" s="11">
        <v>67.89</v>
      </c>
      <c r="D9" s="10">
        <v>-52.79</v>
      </c>
      <c r="E9" s="10">
        <v>-52.73</v>
      </c>
      <c r="F9" s="11">
        <v>3282.27</v>
      </c>
      <c r="G9" s="11">
        <v>3283.27</v>
      </c>
      <c r="H9" s="11">
        <v>54.09</v>
      </c>
      <c r="I9" s="11">
        <v>54.44</v>
      </c>
      <c r="J9" s="9"/>
      <c r="K9" s="9"/>
      <c r="L9" s="19">
        <v>3.03</v>
      </c>
      <c r="M9" s="19">
        <v>1733.8</v>
      </c>
      <c r="O9" s="1"/>
      <c r="P9" s="2"/>
      <c r="Q9" s="2"/>
    </row>
    <row r="10" spans="1:17" ht="23.6" x14ac:dyDescent="0.9">
      <c r="B10" s="9"/>
      <c r="C10" s="9"/>
      <c r="D10" s="9"/>
      <c r="E10" s="9"/>
      <c r="F10" s="9"/>
      <c r="G10" s="9"/>
      <c r="H10" s="9"/>
      <c r="I10" s="9"/>
      <c r="J10" s="9"/>
      <c r="K10" s="9"/>
      <c r="L10" s="10">
        <v>0.4</v>
      </c>
      <c r="M10" s="10">
        <v>1641.29</v>
      </c>
    </row>
    <row r="11" spans="1:17" ht="23.6" x14ac:dyDescent="0.9">
      <c r="B11" s="9"/>
      <c r="C11" s="9"/>
      <c r="D11" s="9"/>
      <c r="E11" s="9"/>
      <c r="F11" s="9"/>
      <c r="G11" s="9"/>
      <c r="H11" s="9"/>
      <c r="I11" s="9"/>
      <c r="J11" s="9"/>
      <c r="K11" s="9"/>
      <c r="L11" s="10">
        <v>-1.73</v>
      </c>
      <c r="M11" s="10">
        <v>1596.71</v>
      </c>
    </row>
    <row r="12" spans="1:17" ht="23.6" x14ac:dyDescent="0.9">
      <c r="B12" s="9"/>
      <c r="C12" s="9"/>
      <c r="D12" s="9"/>
      <c r="E12" s="9"/>
      <c r="F12" s="9"/>
      <c r="G12" s="9"/>
      <c r="H12" s="9"/>
      <c r="I12" s="9"/>
      <c r="J12" s="9"/>
      <c r="K12" s="9"/>
      <c r="L12" s="10">
        <v>-4.42</v>
      </c>
      <c r="M12" s="10">
        <v>1517.23</v>
      </c>
    </row>
    <row r="13" spans="1:17" ht="23.6" x14ac:dyDescent="0.9">
      <c r="B13" s="9"/>
      <c r="C13" s="9"/>
      <c r="D13" s="9"/>
      <c r="E13" s="9"/>
      <c r="F13" s="9"/>
      <c r="G13" s="9"/>
      <c r="H13" s="9"/>
      <c r="I13" s="9"/>
      <c r="J13" s="9"/>
      <c r="K13" s="9"/>
      <c r="L13" s="10">
        <v>-10.29</v>
      </c>
      <c r="M13" s="10">
        <v>1341.15</v>
      </c>
    </row>
    <row r="14" spans="1:17" ht="23.6" x14ac:dyDescent="0.9">
      <c r="B14" s="9"/>
      <c r="C14" s="9"/>
      <c r="D14" s="9"/>
      <c r="E14" s="9"/>
      <c r="F14" s="9"/>
      <c r="G14" s="9"/>
      <c r="H14" s="9"/>
      <c r="I14" s="9"/>
      <c r="J14" s="9"/>
      <c r="K14" s="9"/>
      <c r="L14" s="10">
        <v>-23.19</v>
      </c>
      <c r="M14" s="10">
        <v>954.13</v>
      </c>
    </row>
    <row r="15" spans="1:17" ht="23.6" x14ac:dyDescent="0.9">
      <c r="A15" s="3"/>
      <c r="B15" s="13"/>
      <c r="C15" s="13"/>
      <c r="D15" s="13"/>
      <c r="E15" s="13"/>
      <c r="F15" s="13"/>
      <c r="G15" s="13"/>
      <c r="H15" s="13"/>
      <c r="I15" s="13"/>
      <c r="J15" s="13"/>
      <c r="K15" s="9"/>
      <c r="L15" s="10">
        <v>-52.41</v>
      </c>
      <c r="M15" s="10">
        <v>77.16</v>
      </c>
    </row>
    <row r="16" spans="1:17" ht="23.6" x14ac:dyDescent="0.9">
      <c r="A16" s="4"/>
      <c r="B16" s="14"/>
      <c r="C16" s="15"/>
      <c r="D16" s="14"/>
      <c r="E16" s="15"/>
      <c r="F16" s="15"/>
      <c r="G16" s="14"/>
      <c r="H16" s="14"/>
      <c r="I16" s="15"/>
      <c r="J16" s="15"/>
      <c r="K16" s="9"/>
      <c r="L16" s="10">
        <v>-52.79</v>
      </c>
      <c r="M16" s="10">
        <v>66.28</v>
      </c>
    </row>
    <row r="17" spans="1:13" x14ac:dyDescent="0.4">
      <c r="A17" s="4"/>
      <c r="B17" s="4"/>
      <c r="C17" s="5"/>
      <c r="D17" s="4"/>
      <c r="E17" s="5"/>
      <c r="F17" s="5"/>
      <c r="G17" s="4"/>
      <c r="H17" s="4"/>
      <c r="I17" s="5"/>
      <c r="J17" s="5"/>
      <c r="L17" s="17"/>
      <c r="M17" s="17"/>
    </row>
    <row r="18" spans="1:13" x14ac:dyDescent="0.4">
      <c r="A18" s="5"/>
      <c r="B18" s="6"/>
      <c r="C18" s="6"/>
      <c r="D18" s="6"/>
      <c r="E18" s="6"/>
      <c r="F18" s="6"/>
      <c r="G18" s="6"/>
      <c r="H18" s="6"/>
      <c r="I18" s="6"/>
      <c r="J18" s="6"/>
    </row>
    <row r="19" spans="1:13" x14ac:dyDescent="0.4">
      <c r="A19" s="5"/>
      <c r="B19" s="6"/>
      <c r="C19" s="6"/>
      <c r="D19" s="6"/>
      <c r="E19" s="6"/>
      <c r="F19" s="6"/>
      <c r="G19" s="6"/>
      <c r="H19" s="6"/>
      <c r="I19" s="6"/>
      <c r="J19" s="6"/>
    </row>
    <row r="20" spans="1:13" x14ac:dyDescent="0.4">
      <c r="A20" s="5"/>
      <c r="B20" s="6"/>
      <c r="C20" s="6"/>
      <c r="D20" s="6"/>
      <c r="E20" s="6"/>
      <c r="F20" s="6"/>
      <c r="G20" s="6"/>
      <c r="H20" s="6"/>
      <c r="I20" s="6"/>
      <c r="J20" s="6"/>
    </row>
    <row r="21" spans="1:13" x14ac:dyDescent="0.4">
      <c r="A21" s="5"/>
      <c r="B21" s="6"/>
      <c r="C21" s="6"/>
      <c r="D21" s="6"/>
      <c r="E21" s="6"/>
      <c r="F21" s="6"/>
      <c r="G21" s="6"/>
      <c r="H21" s="6"/>
      <c r="I21" s="6"/>
      <c r="J21" s="6"/>
    </row>
    <row r="22" spans="1:13" x14ac:dyDescent="0.4">
      <c r="A22" s="5"/>
      <c r="B22" s="6"/>
      <c r="C22" s="6"/>
      <c r="D22" s="6"/>
      <c r="E22" s="6"/>
      <c r="F22" s="6"/>
      <c r="G22" s="6"/>
      <c r="H22" s="6"/>
      <c r="I22" s="6"/>
      <c r="J22" s="6"/>
    </row>
    <row r="23" spans="1:13" x14ac:dyDescent="0.4">
      <c r="A23" s="5"/>
      <c r="B23" s="6"/>
      <c r="C23" s="6"/>
      <c r="D23" s="6"/>
      <c r="E23" s="6"/>
      <c r="F23" s="6"/>
      <c r="G23" s="6"/>
      <c r="H23" s="6"/>
      <c r="I23" s="6"/>
      <c r="J23" s="6"/>
    </row>
    <row r="24" spans="1:13" x14ac:dyDescent="0.4">
      <c r="A24" s="5"/>
      <c r="B24" s="6"/>
      <c r="C24" s="6"/>
      <c r="D24" s="6"/>
      <c r="E24" s="6"/>
      <c r="F24" s="6"/>
      <c r="G24" s="6"/>
      <c r="H24" s="6"/>
      <c r="I24" s="6"/>
      <c r="J24" s="6"/>
    </row>
  </sheetData>
  <mergeCells count="5">
    <mergeCell ref="A16:A17"/>
    <mergeCell ref="B16:B17"/>
    <mergeCell ref="D16:D17"/>
    <mergeCell ref="G16:G17"/>
    <mergeCell ref="H16:H1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EC5770EA766D9B40988FA670E28603CF" ma:contentTypeVersion="6" ma:contentTypeDescription="สร้างเอกสารใหม่" ma:contentTypeScope="" ma:versionID="ece1b2d889e54964d70089d2f0891e58">
  <xsd:schema xmlns:xsd="http://www.w3.org/2001/XMLSchema" xmlns:xs="http://www.w3.org/2001/XMLSchema" xmlns:p="http://schemas.microsoft.com/office/2006/metadata/properties" xmlns:ns3="659e3b7d-26b7-4d13-811e-1b8fc95c3522" targetNamespace="http://schemas.microsoft.com/office/2006/metadata/properties" ma:root="true" ma:fieldsID="f64e5bb69aa0fe8c7416f3075907b50a" ns3:_="">
    <xsd:import namespace="659e3b7d-26b7-4d13-811e-1b8fc95c352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9e3b7d-26b7-4d13-811e-1b8fc95c352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9e3b7d-26b7-4d13-811e-1b8fc95c3522" xsi:nil="true"/>
  </documentManagement>
</p:properties>
</file>

<file path=customXml/itemProps1.xml><?xml version="1.0" encoding="utf-8"?>
<ds:datastoreItem xmlns:ds="http://schemas.openxmlformats.org/officeDocument/2006/customXml" ds:itemID="{7D4A1E12-E1DE-447E-8125-CA3C1A68EC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58486D-E4F5-4F7C-9069-4A59B7360B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9e3b7d-26b7-4d13-811e-1b8fc95c35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F6D11-61A8-40DF-9B8B-87CA4A5009F9}">
  <ds:schemaRefs>
    <ds:schemaRef ds:uri="http://schemas.microsoft.com/office/infopath/2007/PartnerControls"/>
    <ds:schemaRef ds:uri="659e3b7d-26b7-4d13-811e-1b8fc95c3522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PIRAKARN YOU</dc:creator>
  <cp:lastModifiedBy>PIRAKARN YOU</cp:lastModifiedBy>
  <dcterms:created xsi:type="dcterms:W3CDTF">2025-10-29T03:03:22Z</dcterms:created>
  <dcterms:modified xsi:type="dcterms:W3CDTF">2025-10-29T17:09:31Z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0x010100EC5770EA766D9B40988FA670E28603CF</vt:lpwstr>
  </property>
</Properties>
</file>